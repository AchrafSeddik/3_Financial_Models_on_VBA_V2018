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 ESSCA\Semestre 2\Séance_02\Envoi après séance\"/>
    </mc:Choice>
  </mc:AlternateContent>
  <bookViews>
    <workbookView xWindow="0" yWindow="0" windowWidth="28800" windowHeight="11610" xr2:uid="{3EAABB31-23C7-4A2D-8862-25B0D366FDCC}"/>
  </bookViews>
  <sheets>
    <sheet name="Launcher" sheetId="2" r:id="rId1"/>
    <sheet name="data" sheetId="1" r:id="rId2"/>
    <sheet name="Annex" sheetId="3" r:id="rId3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B13" i="1"/>
  <c r="F6" i="1"/>
  <c r="E3" i="1"/>
  <c r="I5" i="1"/>
  <c r="I4" i="1"/>
  <c r="E6" i="1"/>
  <c r="I7" i="1"/>
  <c r="I6" i="1"/>
</calcChain>
</file>

<file path=xl/sharedStrings.xml><?xml version="1.0" encoding="utf-8"?>
<sst xmlns="http://schemas.openxmlformats.org/spreadsheetml/2006/main" count="37" uniqueCount="37">
  <si>
    <t>spot price</t>
  </si>
  <si>
    <t>strike price</t>
  </si>
  <si>
    <t>Risk free interest rate</t>
  </si>
  <si>
    <t>Volatility</t>
  </si>
  <si>
    <t>time to maturity</t>
  </si>
  <si>
    <t>Call price</t>
  </si>
  <si>
    <t>Put Price</t>
  </si>
  <si>
    <t>http://www.iotafinance.com/Calculateur-Options-Black-Scholes.html</t>
  </si>
  <si>
    <t>Input Parameters</t>
  </si>
  <si>
    <t>Jours</t>
  </si>
  <si>
    <t>Mois</t>
  </si>
  <si>
    <t>Année</t>
  </si>
  <si>
    <t xml:space="preserve">Janvier 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</si>
  <si>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</si>
  <si>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</si>
  <si>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</si>
  <si>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</si>
  <si>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</si>
  <si>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</si>
  <si>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</si>
  <si>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</si>
  <si>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</si>
  <si>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</si>
  <si>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</si>
  <si>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Greeks</t>
  </si>
  <si>
    <t>Delta</t>
  </si>
  <si>
    <t>Gamma</t>
  </si>
  <si>
    <t>Theta</t>
  </si>
  <si>
    <t>Vega</t>
  </si>
  <si>
    <t>Rho</t>
  </si>
  <si>
    <t>d1</t>
  </si>
  <si>
    <t>d2</t>
  </si>
  <si>
    <t>Nd1</t>
  </si>
  <si>
    <t>Nd2</t>
  </si>
  <si>
    <t>Call</t>
  </si>
  <si>
    <t>Put</t>
  </si>
  <si>
    <t>Using one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</si>
</sst>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2" xfId="0" applyBorder="1"/>
    <xf numFmtId="0" fontId="2" fillId="0" borderId="0" xfId="0" applyFont="1"/>
    <xf numFmtId="0" fontId="4" fillId="0" borderId="2" xfId="0" applyFont="1" applyFill="1" applyBorder="1" applyAlignment="1"/>
    <xf numFmtId="0" fontId="5" fillId="0" borderId="0" xfId="2"/>
    <xf numFmtId="164" fontId="0" fillId="0" borderId="2" xfId="1" applyNumberFormat="1" applyFont="1" applyBorder="1"/>
    <xf numFmtId="0" fontId="1" fillId="2" borderId="4" xfId="0" applyFont="1" applyFill="1" applyBorder="1" applyAlignment="1"/>
    <xf numFmtId="0" fontId="2" fillId="3" borderId="5" xfId="0" applyFont="1" applyFill="1" applyBorder="1"/>
    <xf numFmtId="0" fontId="2" fillId="4" borderId="6" xfId="0" applyFont="1" applyFill="1" applyBorder="1"/>
    <xf numFmtId="0" fontId="8" fillId="0" borderId="0" xfId="0" applyFont="1"/>
    <xf numFmtId="0" fontId="7" fillId="2" borderId="1" xfId="0" applyFont="1" applyFill="1" applyBorder="1" applyAlignment="1">
      <alignment horizontal="center"/>
    </xf>
    <xf numFmtId="0" fontId="8" fillId="0" borderId="2" xfId="0" applyFont="1" applyBorder="1"/>
    <xf numFmtId="0" fontId="9" fillId="0" borderId="0" xfId="0" applyFont="1"/>
    <xf numFmtId="0" fontId="9" fillId="3" borderId="3" xfId="0" applyFont="1" applyFill="1" applyBorder="1"/>
    <xf numFmtId="0" fontId="9" fillId="4" borderId="3" xfId="0" applyFont="1" applyFill="1" applyBorder="1"/>
  </cellXfs>
  <cellStyles count="3">
    <cellStyle name="Lien hypertexte" xfId="2" builtinId="8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146050</xdr:colOff>
          <xdr:row>1</xdr:row>
          <xdr:rowOff>19050</xdr:rowOff>
        </xdr:from>
        <xdr:to>
          <xdr:col>2</xdr:col>
          <xdr:colOff>565150</xdr:colOff>
          <xdr:row>4</xdr:row>
          <xdr:rowOff>152400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Black-Scholes pricer userform 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50800</xdr:colOff>
      <xdr:row>5</xdr:row>
      <xdr:rowOff>101600</xdr:rowOff>
    </xdr:from>
    <xdr:to>
      <xdr:col>8</xdr:col>
      <xdr:colOff>438150</xdr:colOff>
      <xdr:row>7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5474A1B9-C29B-46F5-9655-CF4998E0C362}"/>
            </a:ext>
          </a:extLst>
        </xdr:cNvPr>
        <xdr:cNvSpPr txBox="1"/>
      </xdr:nvSpPr>
      <xdr:spPr>
        <a:xfrm>
          <a:off x="50800" y="1022350"/>
          <a:ext cx="6483350" cy="342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Arial" panose="020B0604020202020204" pitchFamily="34" charset="0"/>
              <a:cs typeface="Arial" panose="020B0604020202020204" pitchFamily="34" charset="0"/>
            </a:rPr>
            <a:t>Note : the decimal seperator must</a:t>
          </a:r>
          <a:r>
            <a:rPr lang="fr-FR" sz="1100" baseline="0">
              <a:latin typeface="Arial" panose="020B0604020202020204" pitchFamily="34" charset="0"/>
              <a:cs typeface="Arial" panose="020B0604020202020204" pitchFamily="34" charset="0"/>
            </a:rPr>
            <a:t> be "." in the userform and not ","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iotafinance.com/Calculateur-Options-Black-Scho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F4D69-3F44-4C01-8D90-00DED0445C0F}">
  <sheetPr codeName="Feuil2"/>
  <dimension ref="C10"/>
  <sheetViews>
    <sheetView showGridLines="0" tabSelected="1" workbookViewId="0">
      <selection activeCell="D14" sqref="D14"/>
    </sheetView>
  </sheetViews>
  <sheetFormatPr baseColWidth="10" defaultRowHeight="14.5" x14ac:dyDescent="0.35"/>
  <sheetData>
    <row r="10" spans="3:3" x14ac:dyDescent="0.35">
      <c r="C10" s="2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unch_pricer">
                <anchor moveWithCells="1" sizeWithCells="1">
                  <from>
                    <xdr:col>0</xdr:col>
                    <xdr:colOff>146050</xdr:colOff>
                    <xdr:row>1</xdr:row>
                    <xdr:rowOff>19050</xdr:rowOff>
                  </from>
                  <to>
                    <xdr:col>2</xdr:col>
                    <xdr:colOff>565150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A102E-221D-4E0A-9F76-81697ECA01CE}">
  <sheetPr codeName="Feuil1"/>
  <dimension ref="A1:I15"/>
  <sheetViews>
    <sheetView workbookViewId="0">
      <selection activeCell="N8" sqref="N8"/>
    </sheetView>
  </sheetViews>
  <sheetFormatPr baseColWidth="10" defaultRowHeight="14.5" x14ac:dyDescent="0.35"/>
  <cols>
    <col min="1" max="1" width="23.7265625" bestFit="1" customWidth="1"/>
    <col min="2" max="2" width="19.26953125" bestFit="1" customWidth="1"/>
    <col min="4" max="4" width="0" hidden="1" customWidth="1"/>
    <col min="5" max="5" width="12.54296875" hidden="1" customWidth="1"/>
    <col min="6" max="9" width="0" hidden="1" customWidth="1"/>
  </cols>
  <sheetData>
    <row r="1" spans="1:9" ht="15" thickBot="1" x14ac:dyDescent="0.4"/>
    <row r="2" spans="1:9" x14ac:dyDescent="0.35">
      <c r="A2" s="9"/>
      <c r="B2" s="10" t="s">
        <v>8</v>
      </c>
      <c r="D2" s="6" t="s">
        <v>24</v>
      </c>
      <c r="E2" s="7" t="s">
        <v>34</v>
      </c>
      <c r="F2" s="8" t="s">
        <v>35</v>
      </c>
    </row>
    <row r="3" spans="1:9" x14ac:dyDescent="0.35">
      <c r="A3" s="11" t="s">
        <v>0</v>
      </c>
      <c r="B3" s="11">
        <v>100</v>
      </c>
      <c r="D3" s="3" t="s">
        <v>25</v>
      </c>
      <c r="E3" s="1" t="e">
        <f ca="1">option_delta("c",B3,B4,B5,B6,B7)</f>
        <v>#NAME?</v>
      </c>
      <c r="F3" s="1"/>
    </row>
    <row r="4" spans="1:9" x14ac:dyDescent="0.35">
      <c r="A4" s="11" t="s">
        <v>1</v>
      </c>
      <c r="B4" s="11">
        <v>40</v>
      </c>
      <c r="D4" s="1"/>
      <c r="E4" s="1"/>
      <c r="F4" s="1"/>
      <c r="H4" t="s">
        <v>30</v>
      </c>
      <c r="I4" t="e">
        <f ca="1">d_1(B3,B4,B5,B6,B7)</f>
        <v>#NAME?</v>
      </c>
    </row>
    <row r="5" spans="1:9" x14ac:dyDescent="0.35">
      <c r="A5" s="11" t="s">
        <v>2</v>
      </c>
      <c r="B5" s="11">
        <v>0.04</v>
      </c>
      <c r="D5" s="3" t="s">
        <v>29</v>
      </c>
      <c r="E5" s="1"/>
      <c r="F5" s="1"/>
      <c r="H5" t="s">
        <v>31</v>
      </c>
      <c r="I5" t="e">
        <f ca="1">d_2(B3,B4,B5,B6,B7)</f>
        <v>#NAME?</v>
      </c>
    </row>
    <row r="6" spans="1:9" x14ac:dyDescent="0.35">
      <c r="A6" s="11" t="s">
        <v>3</v>
      </c>
      <c r="B6" s="11">
        <v>0.5</v>
      </c>
      <c r="D6" s="3" t="s">
        <v>28</v>
      </c>
      <c r="E6" s="5" t="e">
        <f ca="1">option_Vega(B3,B4,B5,B6,B7)</f>
        <v>#NAME?</v>
      </c>
      <c r="F6" s="1" t="e">
        <f ca="1">option_Vega(B3,B4,B5,B6,B7)</f>
        <v>#NAME?</v>
      </c>
      <c r="H6" t="s">
        <v>32</v>
      </c>
      <c r="I6" t="e">
        <f ca="1">N_d1(B3,B4,B5,B6,B7)</f>
        <v>#NAME?</v>
      </c>
    </row>
    <row r="7" spans="1:9" x14ac:dyDescent="0.35">
      <c r="A7" s="11" t="s">
        <v>4</v>
      </c>
      <c r="B7" s="11">
        <v>2</v>
      </c>
      <c r="D7" s="3" t="s">
        <v>27</v>
      </c>
      <c r="E7" s="1"/>
      <c r="F7" s="1"/>
      <c r="H7" t="s">
        <v>33</v>
      </c>
      <c r="I7" t="e">
        <f ca="1">N_d2(B3,B4,B5,B6,B7)</f>
        <v>#NAME?</v>
      </c>
    </row>
    <row r="8" spans="1:9" x14ac:dyDescent="0.35">
      <c r="A8" s="9"/>
      <c r="B8" s="9"/>
      <c r="D8" s="3" t="s">
        <v>26</v>
      </c>
      <c r="E8" s="1"/>
      <c r="F8" s="1"/>
    </row>
    <row r="9" spans="1:9" x14ac:dyDescent="0.35">
      <c r="A9" s="9"/>
      <c r="B9" s="9"/>
    </row>
    <row r="10" spans="1:9" x14ac:dyDescent="0.35">
      <c r="A10" s="9"/>
      <c r="B10" s="9"/>
    </row>
    <row r="11" spans="1:9" ht="15" thickBot="1" x14ac:dyDescent="0.4">
      <c r="A11" s="9"/>
      <c r="B11" s="12" t="s">
        <v>36</v>
      </c>
    </row>
    <row r="12" spans="1:9" ht="15" thickBot="1" x14ac:dyDescent="0.4">
      <c r="A12" s="13" t="s">
        <v>5</v>
      </c>
      <c r="B12" s="11">
        <f>Black_scholes_model("c",B3,B4,B5,B6,B7)</f>
        <v>64.553173388269357</v>
      </c>
    </row>
    <row r="13" spans="1:9" ht="15" thickBot="1" x14ac:dyDescent="0.4">
      <c r="A13" s="14" t="s">
        <v>6</v>
      </c>
      <c r="B13" s="11">
        <f>Black_scholes_model("p",B3,B4,B5,B6,B7)</f>
        <v>1.4778272437347986</v>
      </c>
    </row>
    <row r="15" spans="1:9" x14ac:dyDescent="0.35">
      <c r="A15" s="4" t="s">
        <v>7</v>
      </c>
    </row>
  </sheetData>
  <hyperlinks>
    <hyperlink ref="A15" r:id="rId1" xr:uid="{CBDB7427-19A5-4283-BEEC-2407C107768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90115-92F9-4D1A-8924-DA7D9F344EAF}">
  <sheetPr codeName="Feuil3"/>
  <dimension ref="A1:C32"/>
  <sheetViews>
    <sheetView workbookViewId="0">
      <selection activeCell="E9" sqref="E9"/>
    </sheetView>
  </sheetViews>
  <sheetFormatPr baseColWidth="10" defaultRowHeight="14.5" x14ac:dyDescent="0.35"/>
  <sheetData>
    <row r="1" spans="1:3" x14ac:dyDescent="0.35">
      <c r="A1" t="s">
        <v>9</v>
      </c>
      <c r="B1" t="s">
        <v>10</v>
      </c>
      <c r="C1" t="s">
        <v>11</v>
      </c>
    </row>
    <row r="2" spans="1:3" x14ac:dyDescent="0.35">
      <c r="A2">
        <v>1</v>
      </c>
      <c r="B2" t="s">
        <v>12</v>
      </c>
      <c r="C2">
        <v>2018</v>
      </c>
    </row>
    <row r="3" spans="1:3" x14ac:dyDescent="0.35">
      <c r="A3">
        <v>2</v>
      </c>
      <c r="B3" t="s">
        <v>13</v>
      </c>
      <c r="C3">
        <v>2019</v>
      </c>
    </row>
    <row r="4" spans="1:3" x14ac:dyDescent="0.35">
      <c r="A4">
        <v>3</v>
      </c>
      <c r="B4" t="s">
        <v>14</v>
      </c>
      <c r="C4">
        <v>2020</v>
      </c>
    </row>
    <row r="5" spans="1:3" x14ac:dyDescent="0.35">
      <c r="A5">
        <v>4</v>
      </c>
      <c r="B5" t="s">
        <v>15</v>
      </c>
      <c r="C5">
        <v>2021</v>
      </c>
    </row>
    <row r="6" spans="1:3" x14ac:dyDescent="0.35">
      <c r="A6">
        <v>5</v>
      </c>
      <c r="B6" t="s">
        <v>16</v>
      </c>
      <c r="C6">
        <v>2022</v>
      </c>
    </row>
    <row r="7" spans="1:3" x14ac:dyDescent="0.35">
      <c r="A7">
        <v>6</v>
      </c>
      <c r="B7" t="s">
        <v>17</v>
      </c>
      <c r="C7">
        <v>2023</v>
      </c>
    </row>
    <row r="8" spans="1:3" x14ac:dyDescent="0.35">
      <c r="A8">
        <v>7</v>
      </c>
      <c r="B8" t="s">
        <v>18</v>
      </c>
      <c r="C8">
        <v>2024</v>
      </c>
    </row>
    <row r="9" spans="1:3" x14ac:dyDescent="0.35">
      <c r="A9">
        <v>8</v>
      </c>
      <c r="B9" t="s">
        <v>19</v>
      </c>
      <c r="C9">
        <v>2025</v>
      </c>
    </row>
    <row r="10" spans="1:3" x14ac:dyDescent="0.35">
      <c r="A10">
        <v>9</v>
      </c>
      <c r="B10" t="s">
        <v>20</v>
      </c>
      <c r="C10">
        <v>2026</v>
      </c>
    </row>
    <row r="11" spans="1:3" x14ac:dyDescent="0.35">
      <c r="A11">
        <v>10</v>
      </c>
      <c r="B11" t="s">
        <v>21</v>
      </c>
      <c r="C11">
        <v>2027</v>
      </c>
    </row>
    <row r="12" spans="1:3" x14ac:dyDescent="0.35">
      <c r="A12">
        <v>11</v>
      </c>
      <c r="B12" t="s">
        <v>22</v>
      </c>
      <c r="C12">
        <v>2028</v>
      </c>
    </row>
    <row r="13" spans="1:3" x14ac:dyDescent="0.35">
      <c r="A13">
        <v>12</v>
      </c>
      <c r="B13" t="s">
        <v>23</v>
      </c>
      <c r="C13">
        <v>2029</v>
      </c>
    </row>
    <row r="14" spans="1:3" x14ac:dyDescent="0.35">
      <c r="A14">
        <v>13</v>
      </c>
      <c r="C14">
        <v>2030</v>
      </c>
    </row>
    <row r="15" spans="1:3" x14ac:dyDescent="0.35">
      <c r="A15">
        <v>14</v>
      </c>
      <c r="C15">
        <v>2031</v>
      </c>
    </row>
    <row r="16" spans="1:3" x14ac:dyDescent="0.35">
      <c r="A16">
        <v>15</v>
      </c>
      <c r="C16">
        <v>2032</v>
      </c>
    </row>
    <row r="17" spans="1:3" x14ac:dyDescent="0.35">
      <c r="A17">
        <v>16</v>
      </c>
      <c r="C17">
        <v>2033</v>
      </c>
    </row>
    <row r="18" spans="1:3" x14ac:dyDescent="0.35">
      <c r="A18">
        <v>17</v>
      </c>
      <c r="C18">
        <v>2034</v>
      </c>
    </row>
    <row r="19" spans="1:3" x14ac:dyDescent="0.35">
      <c r="A19">
        <v>18</v>
      </c>
      <c r="C19">
        <v>2035</v>
      </c>
    </row>
    <row r="20" spans="1:3" x14ac:dyDescent="0.35">
      <c r="A20">
        <v>19</v>
      </c>
      <c r="C20">
        <v>2036</v>
      </c>
    </row>
    <row r="21" spans="1:3" x14ac:dyDescent="0.35">
      <c r="A21">
        <v>20</v>
      </c>
      <c r="C21">
        <v>2037</v>
      </c>
    </row>
    <row r="22" spans="1:3" x14ac:dyDescent="0.35">
      <c r="A22">
        <v>21</v>
      </c>
      <c r="C22">
        <v>2038</v>
      </c>
    </row>
    <row r="23" spans="1:3" x14ac:dyDescent="0.35">
      <c r="A23">
        <v>22</v>
      </c>
      <c r="C23">
        <v>2039</v>
      </c>
    </row>
    <row r="24" spans="1:3" x14ac:dyDescent="0.35">
      <c r="A24">
        <v>23</v>
      </c>
      <c r="C24">
        <v>2040</v>
      </c>
    </row>
    <row r="25" spans="1:3" x14ac:dyDescent="0.35">
      <c r="A25">
        <v>24</v>
      </c>
    </row>
    <row r="26" spans="1:3" x14ac:dyDescent="0.35">
      <c r="A26">
        <v>25</v>
      </c>
    </row>
    <row r="27" spans="1:3" x14ac:dyDescent="0.35">
      <c r="A27">
        <v>26</v>
      </c>
    </row>
    <row r="28" spans="1:3" x14ac:dyDescent="0.35">
      <c r="A28">
        <v>27</v>
      </c>
    </row>
    <row r="29" spans="1:3" x14ac:dyDescent="0.35">
      <c r="A29">
        <v>28</v>
      </c>
    </row>
    <row r="30" spans="1:3" x14ac:dyDescent="0.35">
      <c r="A30">
        <v>29</v>
      </c>
    </row>
    <row r="31" spans="1:3" x14ac:dyDescent="0.35">
      <c r="A31">
        <v>30</v>
      </c>
    </row>
    <row r="32" spans="1:3" x14ac:dyDescent="0.35">
      <c r="A32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Launcher</vt:lpstr>
      <vt:lpstr>data</vt:lpstr>
      <vt:lpstr>Annex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A.Seddik</dc:creator>
  <cp:lastModifiedBy>Achraf Seddik</cp:lastModifiedBy>
  <dcterms:created xsi:type="dcterms:W3CDTF">2018-02-02T18:59:56Z</dcterms:created>
  <dcterms:modified xsi:type="dcterms:W3CDTF">2018-02-18T16:27:34Z</dcterms:modified>
</cp:coreProperties>
</file>