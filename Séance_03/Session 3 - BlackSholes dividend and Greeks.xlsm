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BA ESSCA\Semestre 2\Séance_03\Envoi après séance!\"/>
    </mc:Choice>
  </mc:AlternateContent>
  <bookViews>
    <workbookView xWindow="0" yWindow="0" windowWidth="28800" windowHeight="11610" xr2:uid="{00000000-000D-0000-FFFF-FFFF00000000}"/>
  </bookViews>
  <sheets>
    <sheet name="BlacksholesGreeks" sheetId="5" r:id="rId1"/>
  </sheets>
  <functionGroups builtInGroupCount="19"/>
  <definedNames>
    <definedName name="Dividend">BlacksholesGreeks!$B$9</definedName>
    <definedName name="RiskFreeRate">BlacksholesGreeks!$B$8</definedName>
    <definedName name="StockPrice">BlacksholesGreeks!$B$4</definedName>
    <definedName name="StrikePrice">BlacksholesGreeks!$B$5</definedName>
    <definedName name="TimeToExpiry">BlacksholesGreeks!$B$6</definedName>
    <definedName name="Volatility">BlacksholesGreeks!$B$7</definedName>
  </definedNames>
  <calcPr calcId="171027"/>
</workbook>
</file>

<file path=xl/calcChain.xml><?xml version="1.0" encoding="utf-8"?>
<calcChain xmlns="http://schemas.openxmlformats.org/spreadsheetml/2006/main">
  <c r="E7" i="5" l="1"/>
  <c r="E9" i="5"/>
  <c r="E8" i="5"/>
  <c r="F8" i="5"/>
  <c r="F7" i="5"/>
  <c r="E10" i="5"/>
  <c r="E11" i="5"/>
  <c r="F10" i="5"/>
  <c r="F9" i="5"/>
  <c r="F4" i="5"/>
  <c r="F11" i="5"/>
  <c r="E4" i="5"/>
</calcChain>
</file>

<file path=xl/sharedStrings.xml><?xml version="1.0" encoding="utf-8"?>
<sst xmlns="http://schemas.openxmlformats.org/spreadsheetml/2006/main" count="20" uniqueCount="18">
  <si>
    <t>Risk Free Rate</t>
  </si>
  <si>
    <t>Delta</t>
  </si>
  <si>
    <t>Gamma</t>
  </si>
  <si>
    <t>Vega</t>
  </si>
  <si>
    <t>Theta</t>
  </si>
  <si>
    <t>Volatility</t>
  </si>
  <si>
    <t>Rho</t>
  </si>
  <si>
    <t>Call</t>
  </si>
  <si>
    <t>Dividend Yield</t>
  </si>
  <si>
    <t>Stock Price</t>
  </si>
  <si>
    <t>Strike Price</t>
  </si>
  <si>
    <t>Option Price</t>
  </si>
  <si>
    <t>Put</t>
  </si>
  <si>
    <t>Price</t>
  </si>
  <si>
    <t>Input parameters</t>
  </si>
  <si>
    <t>Time To maturity</t>
  </si>
  <si>
    <t>Greeks</t>
  </si>
  <si>
    <t>Black Scholes model for a dividend paying security and its Greeks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</si>
</sst>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8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4" fontId="3" fillId="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/>
    <xf numFmtId="0" fontId="4" fillId="0" borderId="8" xfId="0" applyFont="1" applyBorder="1"/>
    <xf numFmtId="0" fontId="6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2" borderId="3" xfId="0" applyFont="1" applyFill="1" applyBorder="1" applyAlignment="1"/>
    <xf numFmtId="0" fontId="6" fillId="2" borderId="4" xfId="0" applyFont="1" applyFill="1" applyBorder="1"/>
    <xf numFmtId="0" fontId="6" fillId="3" borderId="5" xfId="0" applyFont="1" applyFill="1" applyBorder="1" applyAlignment="1"/>
    <xf numFmtId="164" fontId="6" fillId="3" borderId="6" xfId="0" applyNumberFormat="1" applyFont="1" applyFill="1" applyBorder="1"/>
    <xf numFmtId="164" fontId="6" fillId="3" borderId="7" xfId="0" applyNumberFormat="1" applyFont="1" applyFill="1" applyBorder="1"/>
    <xf numFmtId="0" fontId="6" fillId="2" borderId="4" xfId="0" applyNumberFormat="1" applyFont="1" applyFill="1" applyBorder="1"/>
    <xf numFmtId="0" fontId="5" fillId="0" borderId="8" xfId="0" applyFont="1" applyFill="1" applyBorder="1"/>
    <xf numFmtId="9" fontId="6" fillId="2" borderId="4" xfId="0" applyNumberFormat="1" applyFont="1" applyFill="1" applyBorder="1"/>
    <xf numFmtId="0" fontId="6" fillId="3" borderId="3" xfId="0" applyFont="1" applyFill="1" applyBorder="1" applyAlignment="1"/>
    <xf numFmtId="164" fontId="6" fillId="3" borderId="0" xfId="0" applyNumberFormat="1" applyFont="1" applyFill="1" applyBorder="1"/>
    <xf numFmtId="164" fontId="6" fillId="3" borderId="4" xfId="0" applyNumberFormat="1" applyFont="1" applyFill="1" applyBorder="1"/>
    <xf numFmtId="10" fontId="6" fillId="2" borderId="4" xfId="0" applyNumberFormat="1" applyFont="1" applyFill="1" applyBorder="1"/>
    <xf numFmtId="0" fontId="6" fillId="2" borderId="5" xfId="0" applyFont="1" applyFill="1" applyBorder="1" applyAlignment="1"/>
    <xf numFmtId="10" fontId="6" fillId="2" borderId="7" xfId="0" applyNumberFormat="1" applyFont="1" applyFill="1" applyBorder="1"/>
    <xf numFmtId="4" fontId="6" fillId="0" borderId="0" xfId="0" applyNumberFormat="1" applyFont="1" applyFill="1" applyBorder="1"/>
    <xf numFmtId="0" fontId="6" fillId="0" borderId="0" xfId="0" applyFont="1" applyFill="1" applyBorder="1" applyAlignment="1"/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7" fillId="0" borderId="0" xfId="1" applyFont="1" applyFill="1" applyBorder="1" applyAlignment="1" applyProtection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18"/>
  <sheetViews>
    <sheetView showGridLines="0" tabSelected="1" workbookViewId="0">
      <selection activeCell="A2" sqref="A2"/>
    </sheetView>
  </sheetViews>
  <sheetFormatPr baseColWidth="10" defaultColWidth="9.1796875" defaultRowHeight="15.75" customHeight="1" x14ac:dyDescent="0.35"/>
  <cols>
    <col min="1" max="1" width="18.7265625" style="3" customWidth="1"/>
    <col min="2" max="2" width="9" style="2" customWidth="1"/>
    <col min="3" max="3" width="3.453125" style="3" customWidth="1"/>
    <col min="4" max="4" width="12" style="3" customWidth="1"/>
    <col min="5" max="16384" width="9.1796875" style="3"/>
  </cols>
  <sheetData>
    <row r="1" spans="1:7" ht="29.25" customHeight="1" x14ac:dyDescent="0.4">
      <c r="A1" s="26" t="s">
        <v>17</v>
      </c>
    </row>
    <row r="2" spans="1:7" ht="15.75" customHeight="1" thickBot="1" x14ac:dyDescent="0.4">
      <c r="B2" s="3"/>
    </row>
    <row r="3" spans="1:7" ht="15.75" customHeight="1" thickBot="1" x14ac:dyDescent="0.4">
      <c r="A3" s="27" t="s">
        <v>14</v>
      </c>
      <c r="B3" s="28"/>
      <c r="C3" s="5"/>
      <c r="D3" s="4" t="s">
        <v>13</v>
      </c>
      <c r="E3" s="6" t="s">
        <v>7</v>
      </c>
      <c r="F3" s="7" t="s">
        <v>12</v>
      </c>
    </row>
    <row r="4" spans="1:7" ht="15.75" customHeight="1" thickBot="1" x14ac:dyDescent="0.4">
      <c r="A4" s="8" t="s">
        <v>9</v>
      </c>
      <c r="B4" s="9">
        <v>100</v>
      </c>
      <c r="C4" s="5"/>
      <c r="D4" s="10" t="s">
        <v>11</v>
      </c>
      <c r="E4" s="11">
        <f>optionPrice("C",StockPrice,StrikePrice,TimeToExpiry,RiskFreeRate,Volatility,Dividend)</f>
        <v>64.553173388269371</v>
      </c>
      <c r="F4" s="12">
        <f>optionPrice("P",StockPrice,StrikePrice,TimeToExpiry,RiskFreeRate,Volatility,Dividend)</f>
        <v>1.4778272437348012</v>
      </c>
    </row>
    <row r="5" spans="1:7" ht="15.75" customHeight="1" thickBot="1" x14ac:dyDescent="0.4">
      <c r="A5" s="8" t="s">
        <v>10</v>
      </c>
      <c r="B5" s="9">
        <v>40</v>
      </c>
      <c r="C5" s="5"/>
      <c r="D5" s="5"/>
      <c r="E5" s="5"/>
      <c r="F5" s="5"/>
    </row>
    <row r="6" spans="1:7" ht="15.75" customHeight="1" thickBot="1" x14ac:dyDescent="0.4">
      <c r="A6" s="8" t="s">
        <v>15</v>
      </c>
      <c r="B6" s="13">
        <v>2</v>
      </c>
      <c r="C6" s="5"/>
      <c r="D6" s="14" t="s">
        <v>16</v>
      </c>
      <c r="E6" s="24" t="s">
        <v>7</v>
      </c>
      <c r="F6" s="25" t="s">
        <v>12</v>
      </c>
    </row>
    <row r="7" spans="1:7" ht="15.75" customHeight="1" x14ac:dyDescent="0.35">
      <c r="A7" s="8" t="s">
        <v>5</v>
      </c>
      <c r="B7" s="15">
        <v>0.5</v>
      </c>
      <c r="C7" s="5"/>
      <c r="D7" s="16" t="s">
        <v>1</v>
      </c>
      <c r="E7" s="17">
        <f>OptionDelta("C",StockPrice,StrikePrice,TimeToExpiry,RiskFreeRate,Volatility,Dividend)</f>
        <v>0.96100936583726126</v>
      </c>
      <c r="F7" s="18">
        <f>OptionDelta("P",StockPrice,StrikePrice,TimeToExpiry,RiskFreeRate,Volatility,Dividend)</f>
        <v>-3.8990634162738735E-2</v>
      </c>
    </row>
    <row r="8" spans="1:7" ht="15.75" customHeight="1" x14ac:dyDescent="0.35">
      <c r="A8" s="8" t="s">
        <v>0</v>
      </c>
      <c r="B8" s="19">
        <v>0.04</v>
      </c>
      <c r="C8" s="5"/>
      <c r="D8" s="16" t="s">
        <v>2</v>
      </c>
      <c r="E8" s="17">
        <f>_xludf.Gamma(StockPrice,StrikePrice,TimeToExpiry,RiskFreeRate,Volatility,Dividend)</f>
        <v>1.1936066976026957E-3</v>
      </c>
      <c r="F8" s="18">
        <f>_xludf.Gamma(StockPrice,StrikePrice,TimeToExpiry,RiskFreeRate,Volatility,Dividend)</f>
        <v>1.1936066976026957E-3</v>
      </c>
      <c r="G8" s="1"/>
    </row>
    <row r="9" spans="1:7" ht="15.75" customHeight="1" thickBot="1" x14ac:dyDescent="0.4">
      <c r="A9" s="20" t="s">
        <v>8</v>
      </c>
      <c r="B9" s="21">
        <v>0</v>
      </c>
      <c r="C9" s="22"/>
      <c r="D9" s="16" t="s">
        <v>4</v>
      </c>
      <c r="E9" s="17">
        <f>OptionTheta("C",StockPrice,StrikePrice,TimeToExpiry,RiskFreeRate,Volatility,Dividend)</f>
        <v>-6.3040505256191674E-4</v>
      </c>
      <c r="F9" s="18">
        <f>OptionTheta("P",StockPrice,StrikePrice,TimeToExpiry,RiskFreeRate,Volatility,Dividend)</f>
        <v>-4.6769424613800461E-3</v>
      </c>
    </row>
    <row r="10" spans="1:7" ht="15.75" customHeight="1" x14ac:dyDescent="0.35">
      <c r="A10" s="5"/>
      <c r="B10" s="5"/>
      <c r="C10" s="5"/>
      <c r="D10" s="16" t="s">
        <v>3</v>
      </c>
      <c r="E10" s="17">
        <f>vega(StockPrice,StrikePrice,TimeToExpiry,RiskFreeRate,Volatility,Dividend)</f>
        <v>0.1193606697602696</v>
      </c>
      <c r="F10" s="18">
        <f>vega(StockPrice,StrikePrice,TimeToExpiry,RiskFreeRate,Volatility,Dividend)</f>
        <v>0.1193606697602696</v>
      </c>
    </row>
    <row r="11" spans="1:7" ht="15.75" customHeight="1" thickBot="1" x14ac:dyDescent="0.4">
      <c r="A11" s="23"/>
      <c r="B11" s="5"/>
      <c r="C11" s="5"/>
      <c r="D11" s="10" t="s">
        <v>6</v>
      </c>
      <c r="E11" s="11">
        <f>OptionRho("C",StockPrice,StrikePrice,TimeToExpiry,RiskFreeRate,Volatility,Dividend)</f>
        <v>0.63095526390913514</v>
      </c>
      <c r="F11" s="12">
        <f>OptionRho("P",StockPrice,StrikePrice,TimeToExpiry,RiskFreeRate,Volatility,Dividend)</f>
        <v>-0.1075378132001735</v>
      </c>
    </row>
    <row r="12" spans="1:7" ht="15.75" customHeight="1" x14ac:dyDescent="0.35">
      <c r="B12" s="3"/>
    </row>
    <row r="13" spans="1:7" ht="15.75" customHeight="1" x14ac:dyDescent="0.35">
      <c r="B13" s="3"/>
      <c r="E13" s="1"/>
    </row>
    <row r="14" spans="1:7" ht="15.75" customHeight="1" x14ac:dyDescent="0.35">
      <c r="B14" s="3"/>
    </row>
    <row r="15" spans="1:7" ht="15.75" customHeight="1" x14ac:dyDescent="0.35">
      <c r="B15" s="3"/>
    </row>
    <row r="16" spans="1:7" ht="15.75" customHeight="1" x14ac:dyDescent="0.35">
      <c r="B16" s="3"/>
    </row>
    <row r="17" spans="2:2" ht="15.75" customHeight="1" x14ac:dyDescent="0.35">
      <c r="B17" s="3"/>
    </row>
    <row r="18" spans="2:2" ht="15.75" customHeight="1" x14ac:dyDescent="0.35">
      <c r="B18" s="3"/>
    </row>
  </sheetData>
  <mergeCells count="1">
    <mergeCell ref="A3:B3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6</vt:i4>
      </vt:variant>
    </vt:vector>
  </HeadingPairs>
  <TitlesOfParts>
    <vt:vector size="7" baseType="lpstr">
      <vt:lpstr>BlacksholesGreeks</vt:lpstr>
      <vt:lpstr>Dividend</vt:lpstr>
      <vt:lpstr>RiskFreeRate</vt:lpstr>
      <vt:lpstr>StockPrice</vt:lpstr>
      <vt:lpstr>StrikePrice</vt:lpstr>
      <vt:lpstr>TimeToExpiry</vt:lpstr>
      <vt:lpstr>Volatility</vt:lpstr>
    </vt:vector>
  </TitlesOfParts>
  <Company>www.OptionTradingTips.com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Achraf Seddik</cp:lastModifiedBy>
  <dcterms:created xsi:type="dcterms:W3CDTF">2004-07-13T06:23:33Z</dcterms:created>
  <dcterms:modified xsi:type="dcterms:W3CDTF">2018-02-18T17:07:43Z</dcterms:modified>
</cp:coreProperties>
</file>