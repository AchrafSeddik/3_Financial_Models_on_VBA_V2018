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VBA ESSCA\Semestre 2\Séance_04\Envoi après séance\"/>
    </mc:Choice>
  </mc:AlternateContent>
  <bookViews>
    <workbookView xWindow="0" yWindow="0" windowWidth="28800" windowHeight="11610" xr2:uid="{DBC0E6EF-7067-44BC-89B6-23103AD3788E}"/>
  </bookViews>
  <sheets>
    <sheet name="Merton model " sheetId="1" r:id="rId1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E4" i="1" s="1"/>
  <c r="F4" i="1" s="1"/>
  <c r="G4" i="1" s="1"/>
  <c r="H4" i="1" s="1"/>
  <c r="I4" i="1" s="1"/>
  <c r="J4" i="1" s="1"/>
  <c r="K4" i="1" s="1"/>
  <c r="L4" i="1" s="1"/>
  <c r="M4" i="1" s="1"/>
  <c r="N4" i="1" s="1"/>
  <c r="O4" i="1" s="1"/>
  <c r="P4" i="1" s="1"/>
  <c r="D5" i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D6" i="1"/>
  <c r="E6" i="1" s="1"/>
  <c r="F6" i="1" s="1"/>
  <c r="G6" i="1" s="1"/>
  <c r="H6" i="1" s="1"/>
  <c r="I6" i="1" s="1"/>
  <c r="J6" i="1" s="1"/>
  <c r="K6" i="1" s="1"/>
  <c r="L6" i="1" s="1"/>
  <c r="M6" i="1" s="1"/>
  <c r="N6" i="1" s="1"/>
  <c r="O6" i="1" s="1"/>
  <c r="P6" i="1" s="1"/>
  <c r="D3" i="1"/>
  <c r="E3" i="1" s="1"/>
  <c r="F3" i="1" s="1"/>
  <c r="G3" i="1" s="1"/>
  <c r="H3" i="1" s="1"/>
  <c r="I3" i="1" s="1"/>
  <c r="J3" i="1" s="1"/>
  <c r="K3" i="1" s="1"/>
  <c r="L3" i="1" s="1"/>
  <c r="M3" i="1" s="1"/>
  <c r="N3" i="1" s="1"/>
  <c r="O3" i="1" s="1"/>
  <c r="P3" i="1" s="1"/>
  <c r="C14" i="1"/>
  <c r="P14" i="1"/>
  <c r="M14" i="1"/>
  <c r="N14" i="1"/>
  <c r="N10" i="1"/>
  <c r="L10" i="1"/>
  <c r="I10" i="1"/>
  <c r="D14" i="1"/>
  <c r="O14" i="1"/>
  <c r="K14" i="1"/>
  <c r="G14" i="1"/>
  <c r="O10" i="1"/>
  <c r="J10" i="1"/>
  <c r="F10" i="1"/>
  <c r="H14" i="1"/>
  <c r="E14" i="1"/>
  <c r="F14" i="1"/>
  <c r="P10" i="1"/>
  <c r="D10" i="1"/>
  <c r="G10" i="1"/>
  <c r="K10" i="1"/>
  <c r="L14" i="1"/>
  <c r="I14" i="1"/>
  <c r="J14" i="1"/>
  <c r="M10" i="1"/>
  <c r="H10" i="1"/>
  <c r="E10" i="1"/>
  <c r="C10" i="1"/>
  <c r="C17" i="1" l="1"/>
  <c r="C18" i="1" s="1"/>
  <c r="E17" i="1"/>
  <c r="E18" i="1" s="1"/>
  <c r="H17" i="1"/>
  <c r="H18" i="1" s="1"/>
  <c r="M17" i="1"/>
  <c r="M18" i="1" s="1"/>
  <c r="K17" i="1"/>
  <c r="K18" i="1" s="1"/>
  <c r="G17" i="1"/>
  <c r="G18" i="1" s="1"/>
  <c r="D17" i="1"/>
  <c r="D18" i="1" s="1"/>
  <c r="P17" i="1"/>
  <c r="P18" i="1" s="1"/>
  <c r="F17" i="1"/>
  <c r="F18" i="1" s="1"/>
  <c r="J17" i="1"/>
  <c r="J18" i="1" s="1"/>
  <c r="O17" i="1"/>
  <c r="O18" i="1" s="1"/>
  <c r="I17" i="1"/>
  <c r="I18" i="1" s="1"/>
  <c r="L17" i="1"/>
  <c r="L18" i="1" s="1"/>
  <c r="N17" i="1"/>
  <c r="N18" i="1" s="1"/>
  <c r="C15" i="1"/>
  <c r="G15" i="1"/>
  <c r="N15" i="1"/>
  <c r="J15" i="1"/>
  <c r="F15" i="1"/>
  <c r="K15" i="1"/>
  <c r="M15" i="1"/>
  <c r="I15" i="1"/>
  <c r="E15" i="1"/>
  <c r="O15" i="1"/>
  <c r="P15" i="1"/>
  <c r="L15" i="1"/>
  <c r="H15" i="1"/>
  <c r="D15" i="1"/>
  <c r="P11" i="1"/>
  <c r="P12" i="1" s="1"/>
  <c r="G11" i="1"/>
  <c r="G12" i="1" s="1"/>
  <c r="N11" i="1"/>
  <c r="N12" i="1" s="1"/>
  <c r="J11" i="1"/>
  <c r="J12" i="1" s="1"/>
  <c r="F11" i="1"/>
  <c r="F12" i="1" s="1"/>
  <c r="O11" i="1"/>
  <c r="O12" i="1" s="1"/>
  <c r="M11" i="1"/>
  <c r="M12" i="1" s="1"/>
  <c r="I11" i="1"/>
  <c r="I12" i="1" s="1"/>
  <c r="E11" i="1"/>
  <c r="E12" i="1" s="1"/>
  <c r="K11" i="1"/>
  <c r="K12" i="1" s="1"/>
  <c r="L11" i="1"/>
  <c r="L12" i="1" s="1"/>
  <c r="H11" i="1"/>
  <c r="H12" i="1" s="1"/>
  <c r="D11" i="1"/>
  <c r="D12" i="1" s="1"/>
  <c r="C11" i="1" l="1"/>
  <c r="C12" i="1" s="1"/>
</calcChain>
</file>

<file path=xl/sharedStrings.xml><?xml version="1.0" encoding="utf-8"?>
<sst xmlns="http://schemas.openxmlformats.org/spreadsheetml/2006/main" count="21" uniqueCount="21">
  <si>
    <t>Firm Value</t>
  </si>
  <si>
    <t>Face Value of Debt:</t>
  </si>
  <si>
    <t>T</t>
  </si>
  <si>
    <t>D</t>
  </si>
  <si>
    <t>Vt</t>
  </si>
  <si>
    <t>Time to maturity of the debt</t>
  </si>
  <si>
    <t>r</t>
  </si>
  <si>
    <t>Risk-free rate</t>
  </si>
  <si>
    <t>Asset volatility</t>
  </si>
  <si>
    <t>P</t>
  </si>
  <si>
    <t xml:space="preserve">Y </t>
  </si>
  <si>
    <t>Yield to maturity</t>
  </si>
  <si>
    <t>Pricing of a Zero-coupon Corporate debt using the Merton model</t>
  </si>
  <si>
    <r>
      <t>s</t>
    </r>
    <r>
      <rPr>
        <b/>
        <sz val="10"/>
        <rFont val="Tahoma"/>
        <family val="2"/>
      </rPr>
      <t>v</t>
    </r>
  </si>
  <si>
    <t>S</t>
  </si>
  <si>
    <t>Spread</t>
  </si>
  <si>
    <t>Value of Debt</t>
  </si>
  <si>
    <t>PD</t>
  </si>
  <si>
    <t>DD</t>
  </si>
  <si>
    <t>Probability of default</t>
  </si>
  <si>
    <t>Distance to 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</si>
</sst>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name val="Arial"/>
      <family val="2"/>
    </font>
    <font>
      <b/>
      <sz val="11"/>
      <color theme="1"/>
      <name val="Arial"/>
      <family val="2"/>
    </font>
    <font>
      <b/>
      <u/>
      <sz val="11"/>
      <color theme="1"/>
      <name val="Arial"/>
      <family val="2"/>
    </font>
    <font>
      <b/>
      <sz val="10"/>
      <name val="Symbol"/>
      <family val="1"/>
      <charset val="2"/>
    </font>
    <font>
      <b/>
      <sz val="10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2" fillId="0" borderId="0" xfId="0" applyFont="1"/>
    <xf numFmtId="164" fontId="3" fillId="0" borderId="0" xfId="0" applyNumberFormat="1" applyFont="1"/>
    <xf numFmtId="10" fontId="3" fillId="0" borderId="0" xfId="1" applyNumberFormat="1" applyFont="1"/>
    <xf numFmtId="0" fontId="3" fillId="0" borderId="0" xfId="0" applyNumberFormat="1" applyFont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Merton Model - Term structure of Credit Spread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'Merton model '!$C$7:$P$7</c:f>
              <c:numCache>
                <c:formatCode>General</c:formatCode>
                <c:ptCount val="14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3</c:v>
                </c:pt>
                <c:pt idx="6">
                  <c:v>5</c:v>
                </c:pt>
                <c:pt idx="7">
                  <c:v>8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25</c:v>
                </c:pt>
                <c:pt idx="12">
                  <c:v>30</c:v>
                </c:pt>
                <c:pt idx="13">
                  <c:v>50</c:v>
                </c:pt>
              </c:numCache>
            </c:numRef>
          </c:xVal>
          <c:yVal>
            <c:numRef>
              <c:f>'Merton model '!$C$12:$P$12</c:f>
              <c:numCache>
                <c:formatCode>General</c:formatCode>
                <c:ptCount val="14"/>
                <c:pt idx="0">
                  <c:v>0.26904671450743434</c:v>
                </c:pt>
                <c:pt idx="1">
                  <c:v>13.936752184539117</c:v>
                </c:pt>
                <c:pt idx="2">
                  <c:v>51.165653187838572</c:v>
                </c:pt>
                <c:pt idx="3">
                  <c:v>76.268731984006223</c:v>
                </c:pt>
                <c:pt idx="4">
                  <c:v>90.712995859639136</c:v>
                </c:pt>
                <c:pt idx="5">
                  <c:v>100.40396213061089</c:v>
                </c:pt>
                <c:pt idx="6">
                  <c:v>84.85928784109683</c:v>
                </c:pt>
                <c:pt idx="7">
                  <c:v>66.062572218479815</c:v>
                </c:pt>
                <c:pt idx="8">
                  <c:v>56.867174520747049</c:v>
                </c:pt>
                <c:pt idx="9">
                  <c:v>41.085507481481152</c:v>
                </c:pt>
                <c:pt idx="10">
                  <c:v>31.21478557087616</c:v>
                </c:pt>
                <c:pt idx="11">
                  <c:v>24.531205813753676</c:v>
                </c:pt>
                <c:pt idx="12">
                  <c:v>19.751766789376859</c:v>
                </c:pt>
                <c:pt idx="13">
                  <c:v>9.6325990659461294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9D-4D00-A74E-9D1FB41D3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911328"/>
        <c:axId val="572912312"/>
      </c:scatterChart>
      <c:valAx>
        <c:axId val="572911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2912312"/>
        <c:crosses val="autoZero"/>
        <c:crossBetween val="midCat"/>
      </c:valAx>
      <c:valAx>
        <c:axId val="572912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2911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Meron model - Probability of default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'Merton model '!$C$7:$P$7</c:f>
              <c:numCache>
                <c:formatCode>General</c:formatCode>
                <c:ptCount val="14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3</c:v>
                </c:pt>
                <c:pt idx="6">
                  <c:v>5</c:v>
                </c:pt>
                <c:pt idx="7">
                  <c:v>8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25</c:v>
                </c:pt>
                <c:pt idx="12">
                  <c:v>30</c:v>
                </c:pt>
                <c:pt idx="13">
                  <c:v>50</c:v>
                </c:pt>
              </c:numCache>
            </c:numRef>
          </c:xVal>
          <c:yVal>
            <c:numRef>
              <c:f>'Merton model '!$C$15:$P$15</c:f>
              <c:numCache>
                <c:formatCode>General</c:formatCode>
                <c:ptCount val="14"/>
                <c:pt idx="0">
                  <c:v>1.7468373585427521E-4</c:v>
                </c:pt>
                <c:pt idx="1">
                  <c:v>1.0543154776308405E-2</c:v>
                </c:pt>
                <c:pt idx="2">
                  <c:v>4.6097676148000866E-2</c:v>
                </c:pt>
                <c:pt idx="3">
                  <c:v>7.8062731630190396E-2</c:v>
                </c:pt>
                <c:pt idx="4">
                  <c:v>0.10280707440266668</c:v>
                </c:pt>
                <c:pt idx="5">
                  <c:v>0.18300629935642132</c:v>
                </c:pt>
                <c:pt idx="6">
                  <c:v>0.20203503441308623</c:v>
                </c:pt>
                <c:pt idx="7">
                  <c:v>0.20647027688527497</c:v>
                </c:pt>
                <c:pt idx="8">
                  <c:v>0.2040724582298109</c:v>
                </c:pt>
                <c:pt idx="9">
                  <c:v>0.19241684109223134</c:v>
                </c:pt>
                <c:pt idx="10">
                  <c:v>0.17870735986827702</c:v>
                </c:pt>
                <c:pt idx="11">
                  <c:v>0.16524098070378956</c:v>
                </c:pt>
                <c:pt idx="12">
                  <c:v>0.15261434273690289</c:v>
                </c:pt>
                <c:pt idx="13">
                  <c:v>0.11152717371936072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06-455F-92F5-732E9D817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44184"/>
        <c:axId val="472143528"/>
      </c:scatterChart>
      <c:valAx>
        <c:axId val="472144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2143528"/>
        <c:crosses val="autoZero"/>
        <c:crossBetween val="midCat"/>
      </c:valAx>
      <c:valAx>
        <c:axId val="472143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2144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19</xdr:row>
      <xdr:rowOff>34471</xdr:rowOff>
    </xdr:from>
    <xdr:to>
      <xdr:col>5</xdr:col>
      <xdr:colOff>553357</xdr:colOff>
      <xdr:row>34</xdr:row>
      <xdr:rowOff>56243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E8A3BA8-17DE-4A2E-9686-CC1DD0CB99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891038</xdr:colOff>
      <xdr:row>19</xdr:row>
      <xdr:rowOff>20306</xdr:rowOff>
    </xdr:from>
    <xdr:to>
      <xdr:col>10</xdr:col>
      <xdr:colOff>103909</xdr:colOff>
      <xdr:row>34</xdr:row>
      <xdr:rowOff>57727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75856845-9F43-4065-B506-A04AD20508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B13A9-F224-498E-A95B-EB04621ABACC}">
  <sheetPr codeName="Feuil1"/>
  <dimension ref="A1:P18"/>
  <sheetViews>
    <sheetView tabSelected="1" zoomScale="85" zoomScaleNormal="85" workbookViewId="0">
      <selection activeCell="N26" sqref="N26"/>
    </sheetView>
  </sheetViews>
  <sheetFormatPr baseColWidth="10" defaultRowHeight="15" x14ac:dyDescent="0.25"/>
  <cols>
    <col min="1" max="1" width="3.140625" customWidth="1"/>
    <col min="2" max="2" width="25.140625" bestFit="1" customWidth="1"/>
    <col min="3" max="3" width="25.5703125" bestFit="1" customWidth="1"/>
    <col min="4" max="15" width="16" bestFit="1" customWidth="1"/>
    <col min="16" max="16" width="15.85546875" bestFit="1" customWidth="1"/>
  </cols>
  <sheetData>
    <row r="1" spans="1:16" x14ac:dyDescent="0.25">
      <c r="A1" s="4" t="s">
        <v>12</v>
      </c>
    </row>
    <row r="3" spans="1:16" x14ac:dyDescent="0.25">
      <c r="A3" s="3" t="s">
        <v>4</v>
      </c>
      <c r="B3" s="1" t="s">
        <v>0</v>
      </c>
      <c r="C3" s="7">
        <v>12500000</v>
      </c>
      <c r="D3" s="7">
        <f>C3</f>
        <v>12500000</v>
      </c>
      <c r="E3" s="7">
        <f t="shared" ref="E3:I3" si="0">D3</f>
        <v>12500000</v>
      </c>
      <c r="F3" s="7">
        <f t="shared" si="0"/>
        <v>12500000</v>
      </c>
      <c r="G3" s="7">
        <f t="shared" si="0"/>
        <v>12500000</v>
      </c>
      <c r="H3" s="7">
        <f t="shared" si="0"/>
        <v>12500000</v>
      </c>
      <c r="I3" s="7">
        <f t="shared" si="0"/>
        <v>12500000</v>
      </c>
      <c r="J3" s="7">
        <f t="shared" ref="J3:O3" si="1">I3</f>
        <v>12500000</v>
      </c>
      <c r="K3" s="7">
        <f t="shared" si="1"/>
        <v>12500000</v>
      </c>
      <c r="L3" s="7">
        <f t="shared" si="1"/>
        <v>12500000</v>
      </c>
      <c r="M3" s="7">
        <f t="shared" si="1"/>
        <v>12500000</v>
      </c>
      <c r="N3" s="7">
        <f t="shared" si="1"/>
        <v>12500000</v>
      </c>
      <c r="O3" s="7">
        <f t="shared" si="1"/>
        <v>12500000</v>
      </c>
      <c r="P3" s="7">
        <f t="shared" ref="P3" si="2">O3</f>
        <v>12500000</v>
      </c>
    </row>
    <row r="4" spans="1:16" x14ac:dyDescent="0.25">
      <c r="A4" s="3" t="s">
        <v>3</v>
      </c>
      <c r="B4" s="1" t="s">
        <v>1</v>
      </c>
      <c r="C4" s="7">
        <v>10000000</v>
      </c>
      <c r="D4" s="7">
        <f t="shared" ref="D4:I6" si="3">C4</f>
        <v>10000000</v>
      </c>
      <c r="E4" s="7">
        <f t="shared" si="3"/>
        <v>10000000</v>
      </c>
      <c r="F4" s="7">
        <f t="shared" si="3"/>
        <v>10000000</v>
      </c>
      <c r="G4" s="7">
        <f t="shared" si="3"/>
        <v>10000000</v>
      </c>
      <c r="H4" s="7">
        <f t="shared" si="3"/>
        <v>10000000</v>
      </c>
      <c r="I4" s="7">
        <f t="shared" si="3"/>
        <v>10000000</v>
      </c>
      <c r="J4" s="7">
        <f t="shared" ref="J4:O4" si="4">I4</f>
        <v>10000000</v>
      </c>
      <c r="K4" s="7">
        <f t="shared" si="4"/>
        <v>10000000</v>
      </c>
      <c r="L4" s="7">
        <f t="shared" si="4"/>
        <v>10000000</v>
      </c>
      <c r="M4" s="7">
        <f t="shared" si="4"/>
        <v>10000000</v>
      </c>
      <c r="N4" s="7">
        <f t="shared" si="4"/>
        <v>10000000</v>
      </c>
      <c r="O4" s="7">
        <f t="shared" si="4"/>
        <v>10000000</v>
      </c>
      <c r="P4" s="7">
        <f t="shared" ref="P4" si="5">O4</f>
        <v>10000000</v>
      </c>
    </row>
    <row r="5" spans="1:16" x14ac:dyDescent="0.25">
      <c r="A5" s="3" t="s">
        <v>6</v>
      </c>
      <c r="B5" s="1" t="s">
        <v>7</v>
      </c>
      <c r="C5" s="8">
        <v>0.05</v>
      </c>
      <c r="D5" s="7">
        <f t="shared" si="3"/>
        <v>0.05</v>
      </c>
      <c r="E5" s="7">
        <f t="shared" si="3"/>
        <v>0.05</v>
      </c>
      <c r="F5" s="7">
        <f t="shared" si="3"/>
        <v>0.05</v>
      </c>
      <c r="G5" s="7">
        <f t="shared" si="3"/>
        <v>0.05</v>
      </c>
      <c r="H5" s="7">
        <f t="shared" si="3"/>
        <v>0.05</v>
      </c>
      <c r="I5" s="7">
        <f t="shared" si="3"/>
        <v>0.05</v>
      </c>
      <c r="J5" s="7">
        <f t="shared" ref="J5:O5" si="6">I5</f>
        <v>0.05</v>
      </c>
      <c r="K5" s="7">
        <f t="shared" si="6"/>
        <v>0.05</v>
      </c>
      <c r="L5" s="7">
        <f t="shared" si="6"/>
        <v>0.05</v>
      </c>
      <c r="M5" s="7">
        <f t="shared" si="6"/>
        <v>0.05</v>
      </c>
      <c r="N5" s="7">
        <f t="shared" si="6"/>
        <v>0.05</v>
      </c>
      <c r="O5" s="7">
        <f t="shared" si="6"/>
        <v>0.05</v>
      </c>
      <c r="P5" s="7">
        <f t="shared" ref="P5" si="7">O5</f>
        <v>0.05</v>
      </c>
    </row>
    <row r="6" spans="1:16" x14ac:dyDescent="0.25">
      <c r="A6" s="5" t="s">
        <v>13</v>
      </c>
      <c r="B6" s="2" t="s">
        <v>8</v>
      </c>
      <c r="C6" s="7">
        <v>0.2</v>
      </c>
      <c r="D6" s="7">
        <f t="shared" si="3"/>
        <v>0.2</v>
      </c>
      <c r="E6" s="7">
        <f t="shared" si="3"/>
        <v>0.2</v>
      </c>
      <c r="F6" s="7">
        <f t="shared" si="3"/>
        <v>0.2</v>
      </c>
      <c r="G6" s="7">
        <f t="shared" si="3"/>
        <v>0.2</v>
      </c>
      <c r="H6" s="7">
        <f t="shared" si="3"/>
        <v>0.2</v>
      </c>
      <c r="I6" s="7">
        <f t="shared" si="3"/>
        <v>0.2</v>
      </c>
      <c r="J6" s="7">
        <f t="shared" ref="J6:O6" si="8">I6</f>
        <v>0.2</v>
      </c>
      <c r="K6" s="7">
        <f t="shared" si="8"/>
        <v>0.2</v>
      </c>
      <c r="L6" s="7">
        <f t="shared" si="8"/>
        <v>0.2</v>
      </c>
      <c r="M6" s="7">
        <f t="shared" si="8"/>
        <v>0.2</v>
      </c>
      <c r="N6" s="7">
        <f t="shared" si="8"/>
        <v>0.2</v>
      </c>
      <c r="O6" s="7">
        <f t="shared" si="8"/>
        <v>0.2</v>
      </c>
      <c r="P6" s="7">
        <f t="shared" ref="P6" si="9">O6</f>
        <v>0.2</v>
      </c>
    </row>
    <row r="7" spans="1:16" x14ac:dyDescent="0.25">
      <c r="A7" s="3" t="s">
        <v>2</v>
      </c>
      <c r="B7" s="1" t="s">
        <v>5</v>
      </c>
      <c r="C7">
        <v>0.1</v>
      </c>
      <c r="D7" s="1">
        <v>0.25</v>
      </c>
      <c r="E7" s="1">
        <v>0.5</v>
      </c>
      <c r="F7" s="1">
        <v>0.75</v>
      </c>
      <c r="G7" s="1">
        <v>1</v>
      </c>
      <c r="H7" s="1">
        <v>3</v>
      </c>
      <c r="I7" s="1">
        <v>5</v>
      </c>
      <c r="J7" s="1">
        <v>8</v>
      </c>
      <c r="K7" s="1">
        <v>10</v>
      </c>
      <c r="L7" s="1">
        <v>15</v>
      </c>
      <c r="M7" s="1">
        <v>20</v>
      </c>
      <c r="N7" s="1">
        <v>25</v>
      </c>
      <c r="O7" s="1">
        <v>30</v>
      </c>
      <c r="P7" s="1">
        <v>50</v>
      </c>
    </row>
    <row r="8" spans="1:16" x14ac:dyDescent="0.25">
      <c r="C8" s="1"/>
    </row>
    <row r="9" spans="1:16" x14ac:dyDescent="0.25">
      <c r="A9" s="6"/>
      <c r="C9" s="1"/>
    </row>
    <row r="10" spans="1:16" x14ac:dyDescent="0.25">
      <c r="A10" s="3" t="s">
        <v>9</v>
      </c>
      <c r="B10" s="1" t="s">
        <v>16</v>
      </c>
      <c r="C10" s="7">
        <f>Bond_price_Merton(C3,C4,C5,C6,C7)</f>
        <v>9950098.0214789938</v>
      </c>
      <c r="D10" s="7">
        <f t="shared" ref="D10:O10" si="10">Bond_price_Merton(D3,D4,D5,D6,D7)</f>
        <v>9872337.6975404043</v>
      </c>
      <c r="E10" s="7">
        <f t="shared" si="10"/>
        <v>9728179.8248203117</v>
      </c>
      <c r="F10" s="7">
        <f t="shared" si="10"/>
        <v>9577005.2439429779</v>
      </c>
      <c r="G10" s="7">
        <f t="shared" si="10"/>
        <v>9426395.5695090313</v>
      </c>
      <c r="H10" s="7">
        <f t="shared" si="10"/>
        <v>8351689.9228442879</v>
      </c>
      <c r="I10" s="7">
        <f t="shared" si="10"/>
        <v>7464477.6032640701</v>
      </c>
      <c r="J10" s="7">
        <f t="shared" si="10"/>
        <v>6358134.6176465852</v>
      </c>
      <c r="K10" s="7">
        <f t="shared" si="10"/>
        <v>5730013.6818046411</v>
      </c>
      <c r="L10" s="7">
        <f t="shared" si="10"/>
        <v>4441343.104759302</v>
      </c>
      <c r="M10" s="7">
        <f>Bond_price_Merton(M3,M4,M5,M6,M7)</f>
        <v>3456150.9299622336</v>
      </c>
      <c r="N10" s="7">
        <f t="shared" si="10"/>
        <v>2694619.6925322474</v>
      </c>
      <c r="O10" s="7">
        <f t="shared" si="10"/>
        <v>2102926.1773847016</v>
      </c>
      <c r="P10" s="7">
        <f t="shared" ref="P10" si="11">Bond_price_Merton(P3,P4,P5,P6,P7)</f>
        <v>782252.34213624487</v>
      </c>
    </row>
    <row r="11" spans="1:16" x14ac:dyDescent="0.25">
      <c r="A11" s="3" t="s">
        <v>10</v>
      </c>
      <c r="B11" s="1" t="s">
        <v>11</v>
      </c>
      <c r="C11" s="8">
        <f>(-LN(C10/C4))/C7</f>
        <v>5.0026904671450746E-2</v>
      </c>
      <c r="D11" s="8">
        <f t="shared" ref="D11:P11" si="12">(-LN(D10/D4))/D7</f>
        <v>5.1393675218453914E-2</v>
      </c>
      <c r="E11" s="8">
        <f t="shared" si="12"/>
        <v>5.511656531878386E-2</v>
      </c>
      <c r="F11" s="8">
        <f t="shared" si="12"/>
        <v>5.7626873198400624E-2</v>
      </c>
      <c r="G11" s="8">
        <f t="shared" si="12"/>
        <v>5.9071299585963917E-2</v>
      </c>
      <c r="H11" s="8">
        <f t="shared" si="12"/>
        <v>6.0040396213061092E-2</v>
      </c>
      <c r="I11" s="8">
        <f t="shared" si="12"/>
        <v>5.8485928784109686E-2</v>
      </c>
      <c r="J11" s="8">
        <f t="shared" si="12"/>
        <v>5.6606257221847985E-2</v>
      </c>
      <c r="K11" s="8">
        <f t="shared" si="12"/>
        <v>5.5686717452074708E-2</v>
      </c>
      <c r="L11" s="8">
        <f t="shared" si="12"/>
        <v>5.4108550748148118E-2</v>
      </c>
      <c r="M11" s="8">
        <f t="shared" si="12"/>
        <v>5.3121478557087619E-2</v>
      </c>
      <c r="N11" s="8">
        <f t="shared" si="12"/>
        <v>5.245312058137537E-2</v>
      </c>
      <c r="O11" s="8">
        <f t="shared" si="12"/>
        <v>5.1975176678937689E-2</v>
      </c>
      <c r="P11" s="8">
        <f t="shared" si="12"/>
        <v>5.0963259906594616E-2</v>
      </c>
    </row>
    <row r="12" spans="1:16" x14ac:dyDescent="0.25">
      <c r="A12" s="3" t="s">
        <v>14</v>
      </c>
      <c r="B12" s="1" t="s">
        <v>15</v>
      </c>
      <c r="C12" s="9">
        <f>(C11-C5)*10000</f>
        <v>0.26904671450743434</v>
      </c>
      <c r="D12" s="9">
        <f t="shared" ref="D12:P12" si="13">(D11-D5)*10000</f>
        <v>13.936752184539117</v>
      </c>
      <c r="E12" s="9">
        <f t="shared" si="13"/>
        <v>51.165653187838572</v>
      </c>
      <c r="F12" s="9">
        <f t="shared" si="13"/>
        <v>76.268731984006223</v>
      </c>
      <c r="G12" s="9">
        <f t="shared" si="13"/>
        <v>90.712995859639136</v>
      </c>
      <c r="H12" s="9">
        <f t="shared" si="13"/>
        <v>100.40396213061089</v>
      </c>
      <c r="I12" s="9">
        <f t="shared" si="13"/>
        <v>84.85928784109683</v>
      </c>
      <c r="J12" s="9">
        <f t="shared" si="13"/>
        <v>66.062572218479815</v>
      </c>
      <c r="K12" s="9">
        <f t="shared" si="13"/>
        <v>56.867174520747049</v>
      </c>
      <c r="L12" s="9">
        <f t="shared" si="13"/>
        <v>41.085507481481152</v>
      </c>
      <c r="M12" s="9">
        <f t="shared" si="13"/>
        <v>31.21478557087616</v>
      </c>
      <c r="N12" s="9">
        <f t="shared" si="13"/>
        <v>24.531205813753676</v>
      </c>
      <c r="O12" s="9">
        <f t="shared" si="13"/>
        <v>19.751766789376859</v>
      </c>
      <c r="P12" s="9">
        <f t="shared" si="13"/>
        <v>9.6325990659461294</v>
      </c>
    </row>
    <row r="14" spans="1:16" hidden="1" x14ac:dyDescent="0.25">
      <c r="A14" s="3" t="s">
        <v>18</v>
      </c>
      <c r="B14" s="1" t="s">
        <v>20</v>
      </c>
      <c r="C14">
        <f>dd(C3,C4,C5,C6,C7)</f>
        <v>3.5756435015603358</v>
      </c>
      <c r="D14">
        <f t="shared" ref="D14:P14" si="14">dd(D3,D4,D5,D6,D7)</f>
        <v>2.3064355131420977</v>
      </c>
      <c r="E14">
        <f t="shared" si="14"/>
        <v>1.6839292003012429</v>
      </c>
      <c r="F14">
        <f t="shared" si="14"/>
        <v>1.4182237047595465</v>
      </c>
      <c r="G14">
        <f t="shared" si="14"/>
        <v>1.2657177565710487</v>
      </c>
      <c r="H14">
        <f t="shared" si="14"/>
        <v>0.903967568231272</v>
      </c>
      <c r="I14">
        <f t="shared" si="14"/>
        <v>0.83437434610425387</v>
      </c>
      <c r="J14">
        <f t="shared" si="14"/>
        <v>0.81872986449274365</v>
      </c>
      <c r="K14">
        <f t="shared" si="14"/>
        <v>0.82716258269103782</v>
      </c>
      <c r="L14">
        <f t="shared" si="14"/>
        <v>0.86902458794895066</v>
      </c>
      <c r="M14">
        <f t="shared" si="14"/>
        <v>0.9203024679895796</v>
      </c>
      <c r="N14">
        <f t="shared" si="14"/>
        <v>0.97314355131420971</v>
      </c>
      <c r="O14">
        <f t="shared" si="14"/>
        <v>1.0252850972854231</v>
      </c>
      <c r="P14">
        <f t="shared" si="14"/>
        <v>1.2184464900921472</v>
      </c>
    </row>
    <row r="15" spans="1:16" x14ac:dyDescent="0.25">
      <c r="A15" s="3" t="s">
        <v>17</v>
      </c>
      <c r="B15" s="1" t="s">
        <v>19</v>
      </c>
      <c r="C15">
        <f>1-_xlfn.NORM.S.DIST(C14,TRUE)</f>
        <v>1.7468373585427521E-4</v>
      </c>
      <c r="D15">
        <f t="shared" ref="D15:P15" si="15">1-_xlfn.NORM.S.DIST(D14,TRUE)</f>
        <v>1.0543154776308405E-2</v>
      </c>
      <c r="E15">
        <f t="shared" si="15"/>
        <v>4.6097676148000866E-2</v>
      </c>
      <c r="F15">
        <f t="shared" si="15"/>
        <v>7.8062731630190396E-2</v>
      </c>
      <c r="G15">
        <f t="shared" si="15"/>
        <v>0.10280707440266668</v>
      </c>
      <c r="H15">
        <f t="shared" si="15"/>
        <v>0.18300629935642132</v>
      </c>
      <c r="I15">
        <f t="shared" si="15"/>
        <v>0.20203503441308623</v>
      </c>
      <c r="J15">
        <f t="shared" si="15"/>
        <v>0.20647027688527497</v>
      </c>
      <c r="K15">
        <f t="shared" si="15"/>
        <v>0.2040724582298109</v>
      </c>
      <c r="L15">
        <f t="shared" si="15"/>
        <v>0.19241684109223134</v>
      </c>
      <c r="M15">
        <f t="shared" si="15"/>
        <v>0.17870735986827702</v>
      </c>
      <c r="N15">
        <f t="shared" si="15"/>
        <v>0.16524098070378956</v>
      </c>
      <c r="O15">
        <f t="shared" si="15"/>
        <v>0.15261434273690289</v>
      </c>
      <c r="P15">
        <f t="shared" si="15"/>
        <v>0.11152717371936072</v>
      </c>
    </row>
    <row r="17" spans="3:16" hidden="1" x14ac:dyDescent="0.25">
      <c r="C17">
        <f>(C3-C10)/(C3*C6)</f>
        <v>1.0199607914084026</v>
      </c>
      <c r="D17">
        <f t="shared" ref="D17:P17" si="16">(D3-D10)/(D3*D6)</f>
        <v>1.0510649209838383</v>
      </c>
      <c r="E17">
        <f t="shared" si="16"/>
        <v>1.1087280700718753</v>
      </c>
      <c r="F17">
        <f t="shared" si="16"/>
        <v>1.169197902422809</v>
      </c>
      <c r="G17">
        <f t="shared" si="16"/>
        <v>1.2294417721963875</v>
      </c>
      <c r="H17">
        <f t="shared" si="16"/>
        <v>1.6593240308622847</v>
      </c>
      <c r="I17">
        <f t="shared" si="16"/>
        <v>2.0142089586943719</v>
      </c>
      <c r="J17">
        <f t="shared" si="16"/>
        <v>2.4567461529413661</v>
      </c>
      <c r="K17">
        <f t="shared" si="16"/>
        <v>2.7079945272781436</v>
      </c>
      <c r="L17">
        <f t="shared" si="16"/>
        <v>3.2234627580962791</v>
      </c>
      <c r="M17">
        <f t="shared" si="16"/>
        <v>3.6175396280151069</v>
      </c>
      <c r="N17">
        <f t="shared" si="16"/>
        <v>3.922152122987101</v>
      </c>
      <c r="O17">
        <f t="shared" si="16"/>
        <v>4.1588295290461197</v>
      </c>
      <c r="P17">
        <f t="shared" si="16"/>
        <v>4.6870990631455021</v>
      </c>
    </row>
    <row r="18" spans="3:16" hidden="1" x14ac:dyDescent="0.25">
      <c r="C18">
        <f>1-_xlfn.NORM.S.DIST(C17,TRUE)</f>
        <v>0.15387352816851496</v>
      </c>
      <c r="D18">
        <f t="shared" ref="D18:P18" si="17">1-_xlfn.NORM.S.DIST(D17,TRUE)</f>
        <v>0.14661438692287998</v>
      </c>
      <c r="E18">
        <f t="shared" si="17"/>
        <v>0.1337737544001113</v>
      </c>
      <c r="F18">
        <f t="shared" si="17"/>
        <v>0.12116195305243882</v>
      </c>
      <c r="G18">
        <f t="shared" si="17"/>
        <v>0.10945310832749577</v>
      </c>
      <c r="H18">
        <f t="shared" si="17"/>
        <v>4.8525257704473357E-2</v>
      </c>
      <c r="I18">
        <f t="shared" si="17"/>
        <v>2.1993799757155763E-2</v>
      </c>
      <c r="J18">
        <f t="shared" si="17"/>
        <v>7.0100857848623965E-3</v>
      </c>
      <c r="K18">
        <f t="shared" si="17"/>
        <v>3.3845569313035728E-3</v>
      </c>
      <c r="L18">
        <f t="shared" si="17"/>
        <v>6.3325383082246667E-4</v>
      </c>
      <c r="M18">
        <f t="shared" si="17"/>
        <v>1.4870840250880146E-4</v>
      </c>
      <c r="N18">
        <f t="shared" si="17"/>
        <v>4.3880775787652482E-5</v>
      </c>
      <c r="O18">
        <f t="shared" si="17"/>
        <v>1.5994125447504892E-5</v>
      </c>
      <c r="P18">
        <f t="shared" si="17"/>
        <v>1.3855242754212682E-6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Merton model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Achraf Seddik</dc:creator>
  <cp:lastModifiedBy>A.Seddik</cp:lastModifiedBy>
  <dcterms:created xsi:type="dcterms:W3CDTF">2018-02-18T18:53:39Z</dcterms:created>
  <dcterms:modified xsi:type="dcterms:W3CDTF">2018-02-23T22:28:43Z</dcterms:modified>
</cp:coreProperties>
</file>